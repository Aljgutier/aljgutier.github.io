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ogutierrez/GoogleDrive/workspaces/aljgutier.github.io/DiagramsAndGraphs/"/>
    </mc:Choice>
  </mc:AlternateContent>
  <xr:revisionPtr revIDLastSave="0" documentId="13_ncr:1_{6905229C-D1CC-5849-8806-772316FFABAE}" xr6:coauthVersionLast="45" xr6:coauthVersionMax="45" xr10:uidLastSave="{00000000-0000-0000-0000-000000000000}"/>
  <bookViews>
    <workbookView xWindow="3520" yWindow="3260" windowWidth="27760" windowHeight="17440" xr2:uid="{BA2B74CE-DF81-D542-AF6B-0641FB8C6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3" i="1" l="1"/>
  <c r="P23" i="1"/>
  <c r="Q23" i="1"/>
  <c r="N23" i="1"/>
  <c r="F5" i="1"/>
  <c r="G5" i="1"/>
  <c r="H5" i="1"/>
  <c r="I5" i="1"/>
  <c r="F6" i="1"/>
  <c r="G6" i="1"/>
  <c r="H6" i="1"/>
  <c r="I6" i="1"/>
  <c r="F7" i="1"/>
  <c r="G7" i="1"/>
  <c r="H7" i="1"/>
  <c r="I7" i="1"/>
  <c r="F8" i="1"/>
  <c r="N24" i="1" s="1"/>
  <c r="G8" i="1"/>
  <c r="O24" i="1" s="1"/>
  <c r="H8" i="1"/>
  <c r="P24" i="1" s="1"/>
  <c r="I8" i="1"/>
  <c r="Q24" i="1" s="1"/>
  <c r="G4" i="1"/>
  <c r="H4" i="1"/>
  <c r="I4" i="1"/>
  <c r="F4" i="1"/>
</calcChain>
</file>

<file path=xl/sharedStrings.xml><?xml version="1.0" encoding="utf-8"?>
<sst xmlns="http://schemas.openxmlformats.org/spreadsheetml/2006/main" count="20" uniqueCount="19">
  <si>
    <t>Epoch</t>
  </si>
  <si>
    <t>Matrix Factorization</t>
  </si>
  <si>
    <t>CF-DL1</t>
  </si>
  <si>
    <t>CF-DL2</t>
  </si>
  <si>
    <t xml:space="preserve">SGD, matrix factorization, latent factors, K = 20 </t>
  </si>
  <si>
    <t>CF - DL1</t>
  </si>
  <si>
    <t xml:space="preserve">1-hidden layer, Latent factors, K = 20, 1-hiddent layer, NH = 10, RELU activations, Output Layer, Sigmoid output </t>
  </si>
  <si>
    <t>CF - DL2</t>
  </si>
  <si>
    <t>Similar to CF-DL1, + Day input</t>
  </si>
  <si>
    <t xml:space="preserve">CF - DL3 </t>
  </si>
  <si>
    <t xml:space="preserve">Similar to DL3, plus multiple hidden layers, and larger </t>
  </si>
  <si>
    <t>RMSE</t>
  </si>
  <si>
    <t>MSE</t>
  </si>
  <si>
    <t>MF</t>
  </si>
  <si>
    <t>CF-DL3</t>
  </si>
  <si>
    <t>RMSE, Epoch 5</t>
  </si>
  <si>
    <t>CFDL1</t>
  </si>
  <si>
    <t>CFDL2</t>
  </si>
  <si>
    <t>CFDL3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</si>
</sst>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Collaborative Filter Performance</a:t>
            </a:r>
          </a:p>
        </c:rich>
      </c:tx>
      <c:layout>
        <c:manualLayout>
          <c:xMode val="edge"/>
          <c:yMode val="edge"/>
          <c:x val="0.17570893433637286"/>
          <c:y val="2.2388057822133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CFDL1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Sheet1!$G$4:$G$8</c:f>
              <c:numCache>
                <c:formatCode>General</c:formatCode>
                <c:ptCount val="5"/>
                <c:pt idx="0">
                  <c:v>0.89623322857390197</c:v>
                </c:pt>
                <c:pt idx="1">
                  <c:v>0.89102581331855923</c:v>
                </c:pt>
                <c:pt idx="2">
                  <c:v>0.88682692787262607</c:v>
                </c:pt>
                <c:pt idx="3">
                  <c:v>0.88543605076820764</c:v>
                </c:pt>
                <c:pt idx="4">
                  <c:v>0.88397002211613485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4-9247-81B4-D91F9E7FF34F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CFDL2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Sheet1!$H$4:$H$8</c:f>
              <c:numCache>
                <c:formatCode>General</c:formatCode>
                <c:ptCount val="5"/>
                <c:pt idx="0">
                  <c:v>0.87850099601537168</c:v>
                </c:pt>
                <c:pt idx="1">
                  <c:v>0.86624880952299155</c:v>
                </c:pt>
                <c:pt idx="2">
                  <c:v>0.86457041355808606</c:v>
                </c:pt>
                <c:pt idx="3">
                  <c:v>0.86134894206703472</c:v>
                </c:pt>
                <c:pt idx="4">
                  <c:v>0.8653860410244667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4-9247-81B4-D91F9E7FF34F}"/>
            </c:ext>
          </c:extLst>
        </c:ser>
        <c:ser>
          <c:idx val="2"/>
          <c:order val="2"/>
          <c:tx>
            <c:strRef>
              <c:f>Sheet1!$I$3</c:f>
              <c:strCache>
                <c:ptCount val="1"/>
                <c:pt idx="0">
                  <c:v>CFDL3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Sheet1!$I$4:$I$8</c:f>
              <c:numCache>
                <c:formatCode>General</c:formatCode>
                <c:ptCount val="5"/>
                <c:pt idx="0">
                  <c:v>0.87478568804021939</c:v>
                </c:pt>
                <c:pt idx="1">
                  <c:v>0.86427773313906453</c:v>
                </c:pt>
                <c:pt idx="2">
                  <c:v>0.8576176304157932</c:v>
                </c:pt>
                <c:pt idx="3">
                  <c:v>0.85795221312145353</c:v>
                </c:pt>
                <c:pt idx="4">
                  <c:v>0.85779834460087412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4-9247-81B4-D91F9E7F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248687"/>
        <c:axId val="1705653423"/>
      </c:lineChart>
      <c:catAx>
        <c:axId val="166224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53423"/>
        <c:crosses val="autoZero"/>
        <c:auto val="1"/>
        <c:lblAlgn val="ctr"/>
        <c:lblOffset val="100"/>
        <c:noMultiLvlLbl val="0"/>
      </c:catAx>
      <c:valAx>
        <c:axId val="1705653423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RMSE</a:t>
                </a:r>
              </a:p>
            </c:rich>
          </c:tx>
          <c:layout>
            <c:manualLayout>
              <c:xMode val="edge"/>
              <c:yMode val="edge"/>
              <c:x val="1.1982881059324426E-2"/>
              <c:y val="0.11420024896326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48687"/>
        <c:crosses val="autoZero"/>
        <c:crossBetween val="between"/>
        <c:majorUnit val="1.0000000000000002E-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812800</xdr:colOff>
      <xdr:row>2</xdr:row>
      <xdr:rowOff>33866</xdr:rowOff>
    </xdr:from>
    <xdr:to>
      <xdr:col>16</xdr:col>
      <xdr:colOff>2065868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A81DF9-E74E-F94B-B677-1B063DD7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6FEE-5011-F94B-BB6A-7ACAEB714873}">
  <dimension ref="A2:Q24"/>
  <sheetViews>
    <sheetView tabSelected="1" zoomScale="75" workbookViewId="0">
      <selection activeCell="H18" sqref="H18"/>
    </sheetView>
  </sheetViews>
  <sheetFormatPr baseColWidth="10" defaultRowHeight="16" x14ac:dyDescent="0.2"/>
  <cols>
    <col min="2" max="2" width="13.33203125" customWidth="1"/>
    <col min="14" max="14" width="24.5" customWidth="1"/>
    <col min="15" max="15" width="24" customWidth="1"/>
    <col min="16" max="16" width="22.33203125" customWidth="1"/>
    <col min="17" max="17" width="27.33203125" customWidth="1"/>
    <col min="18" max="18" width="20.83203125" customWidth="1"/>
  </cols>
  <sheetData>
    <row r="2" spans="1:9" x14ac:dyDescent="0.2">
      <c r="C2" t="s">
        <v>12</v>
      </c>
      <c r="F2" t="s">
        <v>11</v>
      </c>
    </row>
    <row r="3" spans="1:9" ht="34" x14ac:dyDescent="0.2">
      <c r="A3" t="s">
        <v>0</v>
      </c>
      <c r="B3" s="1" t="s">
        <v>1</v>
      </c>
      <c r="C3" t="s">
        <v>2</v>
      </c>
      <c r="D3" t="s">
        <v>3</v>
      </c>
      <c r="E3" t="s">
        <v>14</v>
      </c>
      <c r="F3" t="s">
        <v>13</v>
      </c>
      <c r="G3" t="s">
        <v>16</v>
      </c>
      <c r="H3" t="s">
        <v>17</v>
      </c>
      <c r="I3" t="s">
        <v>18</v>
      </c>
    </row>
    <row r="4" spans="1:9" x14ac:dyDescent="0.2">
      <c r="A4">
        <v>1</v>
      </c>
      <c r="B4">
        <v>1.8066500000000001</v>
      </c>
      <c r="C4">
        <v>0.803234</v>
      </c>
      <c r="D4">
        <v>0.77176400000000001</v>
      </c>
      <c r="E4">
        <v>0.76524999999999999</v>
      </c>
      <c r="F4">
        <f>SQRT(B4)</f>
        <v>1.3441168104000485</v>
      </c>
      <c r="G4">
        <f t="shared" ref="G4:I4" si="0">SQRT(C4)</f>
        <v>0.89623322857390197</v>
      </c>
      <c r="H4">
        <f t="shared" si="0"/>
        <v>0.87850099601537168</v>
      </c>
      <c r="I4">
        <f t="shared" si="0"/>
        <v>0.87478568804021939</v>
      </c>
    </row>
    <row r="5" spans="1:9" x14ac:dyDescent="0.2">
      <c r="A5">
        <v>2</v>
      </c>
      <c r="B5">
        <v>1.503765</v>
      </c>
      <c r="C5">
        <v>0.79392700000000005</v>
      </c>
      <c r="D5">
        <v>0.75038700000000003</v>
      </c>
      <c r="E5">
        <v>0.74697599999999997</v>
      </c>
      <c r="F5">
        <f t="shared" ref="F5:F8" si="1">SQRT(B5)</f>
        <v>1.2262809629118443</v>
      </c>
      <c r="G5">
        <f t="shared" ref="G5:G8" si="2">SQRT(C5)</f>
        <v>0.89102581331855923</v>
      </c>
      <c r="H5">
        <f t="shared" ref="H5:H8" si="3">SQRT(D5)</f>
        <v>0.86624880952299155</v>
      </c>
      <c r="I5">
        <f t="shared" ref="I5:I8" si="4">SQRT(E5)</f>
        <v>0.86427773313906453</v>
      </c>
    </row>
    <row r="6" spans="1:9" x14ac:dyDescent="0.2">
      <c r="A6">
        <v>3</v>
      </c>
      <c r="B6">
        <v>1.45577</v>
      </c>
      <c r="C6">
        <v>0.78646199999999999</v>
      </c>
      <c r="D6">
        <v>0.74748199999999998</v>
      </c>
      <c r="E6">
        <v>0.73550800000000005</v>
      </c>
      <c r="F6">
        <f t="shared" si="1"/>
        <v>1.2065529412338276</v>
      </c>
      <c r="G6">
        <f t="shared" si="2"/>
        <v>0.88682692787262607</v>
      </c>
      <c r="H6">
        <f t="shared" si="3"/>
        <v>0.86457041355808606</v>
      </c>
      <c r="I6">
        <f t="shared" si="4"/>
        <v>0.8576176304157932</v>
      </c>
    </row>
    <row r="7" spans="1:9" x14ac:dyDescent="0.2">
      <c r="A7">
        <v>4</v>
      </c>
      <c r="B7">
        <v>1.435211</v>
      </c>
      <c r="C7">
        <v>0.78399700000000005</v>
      </c>
      <c r="D7">
        <v>0.74192199999999997</v>
      </c>
      <c r="E7">
        <v>0.73608200000000001</v>
      </c>
      <c r="F7">
        <f t="shared" si="1"/>
        <v>1.1980029215323309</v>
      </c>
      <c r="G7">
        <f t="shared" si="2"/>
        <v>0.88543605076820764</v>
      </c>
      <c r="H7">
        <f t="shared" si="3"/>
        <v>0.86134894206703472</v>
      </c>
      <c r="I7">
        <f t="shared" si="4"/>
        <v>0.85795221312145353</v>
      </c>
    </row>
    <row r="8" spans="1:9" x14ac:dyDescent="0.2">
      <c r="A8">
        <v>5</v>
      </c>
      <c r="B8">
        <v>1.4414180000000001</v>
      </c>
      <c r="C8">
        <v>0.78140299999999996</v>
      </c>
      <c r="D8">
        <v>0.74889300000000003</v>
      </c>
      <c r="E8">
        <v>0.73581799999999997</v>
      </c>
      <c r="F8">
        <f t="shared" si="1"/>
        <v>1.2005906879532258</v>
      </c>
      <c r="G8">
        <f t="shared" si="2"/>
        <v>0.88397002211613485</v>
      </c>
      <c r="H8">
        <f t="shared" si="3"/>
        <v>0.8653860410244667</v>
      </c>
      <c r="I8">
        <f t="shared" si="4"/>
        <v>0.85779834460087412</v>
      </c>
    </row>
    <row r="11" spans="1:9" x14ac:dyDescent="0.2">
      <c r="A11" t="s">
        <v>1</v>
      </c>
      <c r="C11" t="s">
        <v>4</v>
      </c>
    </row>
    <row r="12" spans="1:9" x14ac:dyDescent="0.2">
      <c r="A12" t="s">
        <v>5</v>
      </c>
      <c r="C12" t="s">
        <v>6</v>
      </c>
    </row>
    <row r="13" spans="1:9" x14ac:dyDescent="0.2">
      <c r="A13" t="s">
        <v>7</v>
      </c>
      <c r="C13" t="s">
        <v>8</v>
      </c>
    </row>
    <row r="14" spans="1:9" x14ac:dyDescent="0.2">
      <c r="A14" t="s">
        <v>9</v>
      </c>
      <c r="C14" t="s">
        <v>10</v>
      </c>
    </row>
    <row r="22" spans="14:17" ht="21" x14ac:dyDescent="0.25">
      <c r="N22" s="4" t="s">
        <v>15</v>
      </c>
      <c r="O22" s="4"/>
      <c r="P22" s="4"/>
      <c r="Q22" s="4"/>
    </row>
    <row r="23" spans="14:17" ht="21" x14ac:dyDescent="0.25">
      <c r="N23" s="2" t="str">
        <f>F3</f>
        <v>MF</v>
      </c>
      <c r="O23" s="2" t="str">
        <f>G3</f>
        <v>CFDL1</v>
      </c>
      <c r="P23" s="2" t="str">
        <f>H3</f>
        <v>CFDL2</v>
      </c>
      <c r="Q23" s="2" t="str">
        <f>I3</f>
        <v>CFDL3</v>
      </c>
    </row>
    <row r="24" spans="14:17" ht="21" x14ac:dyDescent="0.25">
      <c r="N24" s="3">
        <f>F8</f>
        <v>1.2005906879532258</v>
      </c>
      <c r="O24" s="3">
        <f>G8</f>
        <v>0.88397002211613485</v>
      </c>
      <c r="P24" s="3">
        <f>H8</f>
        <v>0.8653860410244667</v>
      </c>
      <c r="Q24" s="3">
        <f>I8</f>
        <v>0.85779834460087412</v>
      </c>
    </row>
  </sheetData>
  <mergeCells count="1">
    <mergeCell ref="N22:Q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2019-08-18T18:50:08Z</dcterms:created>
  <dcterms:modified xsi:type="dcterms:W3CDTF">2019-10-01T19:52:21Z</dcterms:modified>
</cp:coreProperties>
</file>